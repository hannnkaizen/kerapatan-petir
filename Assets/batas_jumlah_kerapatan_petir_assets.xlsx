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4355" windowHeight="7755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<sst xmlns="http://schemas.openxmlformats.org/spreadsheetml/2006/main" count="67" uniqueCount="61">
  <si>
    <t>Island</t>
  </si>
  <si>
    <t>Kecamatan (Sub-district)</t>
  </si>
  <si>
    <t>Area (km2)</t>
  </si>
  <si>
    <t>Administrative Center</t>
  </si>
  <si>
    <t>Alor</t>
  </si>
  <si>
    <t>Alor Timur (East Alor)</t>
  </si>
  <si>
    <t>Maritaing</t>
  </si>
  <si>
    <t>Alor Barat Daya (SW Alor)</t>
  </si>
  <si>
    <t>Moru</t>
  </si>
  <si>
    <t>Alor Timur Laut (NE Alor)</t>
  </si>
  <si>
    <t>Bukapiting</t>
  </si>
  <si>
    <t>Alor Selatan (South Alor)</t>
  </si>
  <si>
    <t>Apui</t>
  </si>
  <si>
    <t>Abad Selatan (South Abad)</t>
  </si>
  <si>
    <t>Tribur</t>
  </si>
  <si>
    <t>Pureman</t>
  </si>
  <si>
    <t>Peitoko</t>
  </si>
  <si>
    <t>Alor Tengah Utara (N. Central)</t>
  </si>
  <si>
    <t>Alim Mebung</t>
  </si>
  <si>
    <t>Alor Barat Laut (NW Alor)</t>
  </si>
  <si>
    <t>Kokar</t>
  </si>
  <si>
    <t>Mataru</t>
  </si>
  <si>
    <t>Kalunan</t>
  </si>
  <si>
    <t>Kalabahi</t>
  </si>
  <si>
    <t>Lembur</t>
  </si>
  <si>
    <t>Alemba</t>
  </si>
  <si>
    <t>Kabola</t>
  </si>
  <si>
    <t>Wolibang</t>
  </si>
  <si>
    <t>Pantar</t>
  </si>
  <si>
    <t>Pantar Tengah (Central Pantar)</t>
  </si>
  <si>
    <t>Maliang</t>
  </si>
  <si>
    <t>Pantar Barat Laut (NW Pantar)</t>
  </si>
  <si>
    <t>Marisa</t>
  </si>
  <si>
    <t>Pantar Timur (East Pantar)</t>
  </si>
  <si>
    <t>Bakalang</t>
  </si>
  <si>
    <t>Kabir</t>
  </si>
  <si>
    <t>Pantar Barat (West Pantar)</t>
  </si>
  <si>
    <t>Baranusa</t>
  </si>
  <si>
    <t>Other</t>
  </si>
  <si>
    <t>Pulau Pura (Pura Island)</t>
  </si>
  <si>
    <t>Bolamelang</t>
  </si>
  <si>
    <r>
      <t>Teluk Mutiara</t>
    </r>
    <r>
      <rPr>
        <sz val="10"/>
        <color rgb="FF1F1F1F"/>
        <rFont val="Arial"/>
        <family val="2"/>
      </rPr>
      <t xml:space="preserve"> (Capital)</t>
    </r>
  </si>
  <si>
    <t>Rendah</t>
  </si>
  <si>
    <t>Sedang</t>
  </si>
  <si>
    <t>Tinggi</t>
  </si>
  <si>
    <t>Rendah-Sedang</t>
  </si>
  <si>
    <t>Sedang-Tinggi</t>
  </si>
  <si>
    <t>Kecamatan</t>
  </si>
  <si>
    <t>Alor_Barat_Daya</t>
  </si>
  <si>
    <t>Alor_Timur_Laut</t>
  </si>
  <si>
    <t>Alor_Selatan</t>
  </si>
  <si>
    <t>Abad_Selatan</t>
  </si>
  <si>
    <t>Alor_Tengah_Utara</t>
  </si>
  <si>
    <t>Alor_Barat_Laut</t>
  </si>
  <si>
    <t>Teluk_Mutiara</t>
  </si>
  <si>
    <t>Pantar_Tengah</t>
  </si>
  <si>
    <t>Pantar_Barat_Laut</t>
  </si>
  <si>
    <t>Pantar_Timur</t>
  </si>
  <si>
    <t>Pantar_Barat</t>
  </si>
  <si>
    <t>Pulau_Pura</t>
  </si>
  <si>
    <t>Alor_Timur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</si>
</sst>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2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="85" zoomScaleNormal="85" workbookViewId="0">
      <selection activeCell="E1" sqref="E1:F1048576"/>
    </sheetView>
  </sheetViews>
  <sheetFormatPr defaultRowHeight="15" x14ac:dyDescent="0.25"/>
  <cols>
    <col min="1" max="1" width="8.85546875" bestFit="1" customWidth="1"/>
    <col min="3" max="3" width="8.5703125" bestFit="1" customWidth="1"/>
  </cols>
  <sheetData>
    <row r="1" spans="1:7" ht="39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42</v>
      </c>
      <c r="F1" s="3" t="s">
        <v>43</v>
      </c>
      <c r="G1" s="3" t="s">
        <v>44</v>
      </c>
    </row>
    <row r="2" spans="1:7" ht="51.75" thickBot="1" x14ac:dyDescent="0.3">
      <c r="A2" s="1" t="s">
        <v>4</v>
      </c>
      <c r="B2" s="2" t="s">
        <v>5</v>
      </c>
      <c r="C2" s="2">
        <v>562.76</v>
      </c>
      <c r="D2" s="4" t="s">
        <v>6</v>
      </c>
      <c r="E2" s="6">
        <f>6*C2</f>
        <v>3376.56</v>
      </c>
      <c r="F2" s="6">
        <f>12*C2</f>
        <v>6753.12</v>
      </c>
      <c r="G2" s="6"/>
    </row>
    <row r="3" spans="1:7" ht="51.75" thickBot="1" x14ac:dyDescent="0.3">
      <c r="A3" s="2"/>
      <c r="B3" s="2" t="s">
        <v>7</v>
      </c>
      <c r="C3" s="2">
        <v>265.58999999999997</v>
      </c>
      <c r="D3" s="4" t="s">
        <v>8</v>
      </c>
      <c r="E3" s="6">
        <f t="shared" ref="E3:E19" si="0">6*C3</f>
        <v>1593.54</v>
      </c>
      <c r="F3" s="6">
        <f t="shared" ref="F3:F19" si="1">12*C3</f>
        <v>3187.08</v>
      </c>
      <c r="G3" s="6"/>
    </row>
    <row r="4" spans="1:7" ht="51.75" thickBot="1" x14ac:dyDescent="0.3">
      <c r="A4" s="2"/>
      <c r="B4" s="2" t="s">
        <v>9</v>
      </c>
      <c r="C4" s="2">
        <v>208.48</v>
      </c>
      <c r="D4" s="4" t="s">
        <v>10</v>
      </c>
      <c r="E4" s="6">
        <f t="shared" si="0"/>
        <v>1250.8799999999999</v>
      </c>
      <c r="F4" s="6">
        <f t="shared" si="1"/>
        <v>2501.7599999999998</v>
      </c>
      <c r="G4" s="6"/>
    </row>
    <row r="5" spans="1:7" ht="51.75" thickBot="1" x14ac:dyDescent="0.3">
      <c r="A5" s="2"/>
      <c r="B5" s="2" t="s">
        <v>11</v>
      </c>
      <c r="C5" s="2">
        <v>192.98</v>
      </c>
      <c r="D5" s="4" t="s">
        <v>12</v>
      </c>
      <c r="E5" s="6">
        <f t="shared" si="0"/>
        <v>1157.8799999999999</v>
      </c>
      <c r="F5" s="6">
        <f t="shared" si="1"/>
        <v>2315.7599999999998</v>
      </c>
      <c r="G5" s="6"/>
    </row>
    <row r="6" spans="1:7" ht="51.75" thickBot="1" x14ac:dyDescent="0.3">
      <c r="A6" s="2"/>
      <c r="B6" s="2" t="s">
        <v>13</v>
      </c>
      <c r="C6" s="2">
        <v>182.38</v>
      </c>
      <c r="D6" s="4" t="s">
        <v>14</v>
      </c>
      <c r="E6" s="6">
        <f t="shared" si="0"/>
        <v>1094.28</v>
      </c>
      <c r="F6" s="6">
        <f t="shared" si="1"/>
        <v>2188.56</v>
      </c>
      <c r="G6" s="6"/>
    </row>
    <row r="7" spans="1:7" ht="15.75" thickBot="1" x14ac:dyDescent="0.3">
      <c r="A7" s="2"/>
      <c r="B7" s="2" t="s">
        <v>15</v>
      </c>
      <c r="C7" s="2">
        <v>147.88</v>
      </c>
      <c r="D7" s="4" t="s">
        <v>16</v>
      </c>
      <c r="E7" s="6">
        <f t="shared" si="0"/>
        <v>887.28</v>
      </c>
      <c r="F7" s="6">
        <f t="shared" si="1"/>
        <v>1774.56</v>
      </c>
      <c r="G7" s="6"/>
    </row>
    <row r="8" spans="1:7" ht="51.75" thickBot="1" x14ac:dyDescent="0.3">
      <c r="A8" s="2"/>
      <c r="B8" s="2" t="s">
        <v>17</v>
      </c>
      <c r="C8" s="2">
        <v>125.14</v>
      </c>
      <c r="D8" s="4" t="s">
        <v>18</v>
      </c>
      <c r="E8" s="6">
        <f t="shared" si="0"/>
        <v>750.84</v>
      </c>
      <c r="F8" s="6">
        <f t="shared" si="1"/>
        <v>1501.68</v>
      </c>
      <c r="G8" s="6"/>
    </row>
    <row r="9" spans="1:7" ht="51.75" thickBot="1" x14ac:dyDescent="0.3">
      <c r="A9" s="2"/>
      <c r="B9" s="2" t="s">
        <v>19</v>
      </c>
      <c r="C9" s="2">
        <v>107.96</v>
      </c>
      <c r="D9" s="4" t="s">
        <v>20</v>
      </c>
      <c r="E9" s="6">
        <f t="shared" si="0"/>
        <v>647.76</v>
      </c>
      <c r="F9" s="6">
        <f t="shared" si="1"/>
        <v>1295.52</v>
      </c>
      <c r="G9" s="6"/>
    </row>
    <row r="10" spans="1:7" ht="15.75" thickBot="1" x14ac:dyDescent="0.3">
      <c r="A10" s="2"/>
      <c r="B10" s="2" t="s">
        <v>21</v>
      </c>
      <c r="C10" s="2">
        <v>102.77</v>
      </c>
      <c r="D10" s="4" t="s">
        <v>22</v>
      </c>
      <c r="E10" s="6">
        <f t="shared" si="0"/>
        <v>616.62</v>
      </c>
      <c r="F10" s="6">
        <f t="shared" si="1"/>
        <v>1233.24</v>
      </c>
      <c r="G10" s="6"/>
    </row>
    <row r="11" spans="1:7" ht="39" thickBot="1" x14ac:dyDescent="0.3">
      <c r="A11" s="2"/>
      <c r="B11" s="1" t="s">
        <v>41</v>
      </c>
      <c r="C11" s="2">
        <v>80.180000000000007</v>
      </c>
      <c r="D11" s="5" t="s">
        <v>23</v>
      </c>
      <c r="E11" s="6">
        <f t="shared" si="0"/>
        <v>481.08000000000004</v>
      </c>
      <c r="F11" s="6">
        <f t="shared" si="1"/>
        <v>962.16000000000008</v>
      </c>
      <c r="G11" s="6"/>
    </row>
    <row r="12" spans="1:7" ht="15.75" thickBot="1" x14ac:dyDescent="0.3">
      <c r="A12" s="2"/>
      <c r="B12" s="2" t="s">
        <v>24</v>
      </c>
      <c r="C12" s="2">
        <v>75.790000000000006</v>
      </c>
      <c r="D12" s="4" t="s">
        <v>25</v>
      </c>
      <c r="E12" s="6">
        <f t="shared" si="0"/>
        <v>454.74</v>
      </c>
      <c r="F12" s="6">
        <f t="shared" si="1"/>
        <v>909.48</v>
      </c>
      <c r="G12" s="6"/>
    </row>
    <row r="13" spans="1:7" ht="15.75" thickBot="1" x14ac:dyDescent="0.3">
      <c r="A13" s="2"/>
      <c r="B13" s="2" t="s">
        <v>26</v>
      </c>
      <c r="C13" s="2">
        <v>73.010000000000005</v>
      </c>
      <c r="D13" s="4" t="s">
        <v>27</v>
      </c>
      <c r="E13" s="6">
        <f t="shared" si="0"/>
        <v>438.06000000000006</v>
      </c>
      <c r="F13" s="6">
        <f t="shared" si="1"/>
        <v>876.12000000000012</v>
      </c>
      <c r="G13" s="6"/>
    </row>
    <row r="14" spans="1:7" ht="51.75" thickBot="1" x14ac:dyDescent="0.3">
      <c r="A14" s="1" t="s">
        <v>28</v>
      </c>
      <c r="B14" s="2" t="s">
        <v>29</v>
      </c>
      <c r="C14" s="2">
        <v>306.02</v>
      </c>
      <c r="D14" s="4" t="s">
        <v>30</v>
      </c>
      <c r="E14" s="6">
        <f t="shared" si="0"/>
        <v>1836.12</v>
      </c>
      <c r="F14" s="6">
        <f t="shared" si="1"/>
        <v>3672.24</v>
      </c>
      <c r="G14" s="6"/>
    </row>
    <row r="15" spans="1:7" ht="64.5" thickBot="1" x14ac:dyDescent="0.3">
      <c r="A15" s="2"/>
      <c r="B15" s="2" t="s">
        <v>31</v>
      </c>
      <c r="C15" s="2">
        <v>150.13</v>
      </c>
      <c r="D15" s="4" t="s">
        <v>32</v>
      </c>
      <c r="E15" s="6">
        <f t="shared" si="0"/>
        <v>900.78</v>
      </c>
      <c r="F15" s="6">
        <f t="shared" si="1"/>
        <v>1801.56</v>
      </c>
      <c r="G15" s="6"/>
    </row>
    <row r="16" spans="1:7" ht="51.75" thickBot="1" x14ac:dyDescent="0.3">
      <c r="A16" s="2"/>
      <c r="B16" s="2" t="s">
        <v>33</v>
      </c>
      <c r="C16" s="2">
        <v>141.44</v>
      </c>
      <c r="D16" s="4" t="s">
        <v>34</v>
      </c>
      <c r="E16" s="6">
        <f t="shared" si="0"/>
        <v>848.64</v>
      </c>
      <c r="F16" s="6">
        <f t="shared" si="1"/>
        <v>1697.28</v>
      </c>
      <c r="G16" s="6"/>
    </row>
    <row r="17" spans="1:7" ht="15.75" thickBot="1" x14ac:dyDescent="0.3">
      <c r="A17" s="2"/>
      <c r="B17" s="2" t="s">
        <v>28</v>
      </c>
      <c r="C17" s="2">
        <v>119.82</v>
      </c>
      <c r="D17" s="4" t="s">
        <v>35</v>
      </c>
      <c r="E17" s="6">
        <f t="shared" si="0"/>
        <v>718.92</v>
      </c>
      <c r="F17" s="6">
        <f t="shared" si="1"/>
        <v>1437.84</v>
      </c>
      <c r="G17" s="6"/>
    </row>
    <row r="18" spans="1:7" ht="51.75" thickBot="1" x14ac:dyDescent="0.3">
      <c r="A18" s="2"/>
      <c r="B18" s="2" t="s">
        <v>36</v>
      </c>
      <c r="C18" s="2">
        <v>58.71</v>
      </c>
      <c r="D18" s="4" t="s">
        <v>37</v>
      </c>
      <c r="E18" s="6">
        <f t="shared" si="0"/>
        <v>352.26</v>
      </c>
      <c r="F18" s="6">
        <f t="shared" si="1"/>
        <v>704.52</v>
      </c>
      <c r="G18" s="6"/>
    </row>
    <row r="19" spans="1:7" ht="51.75" thickBot="1" x14ac:dyDescent="0.3">
      <c r="A19" s="1" t="s">
        <v>38</v>
      </c>
      <c r="B19" s="2" t="s">
        <v>39</v>
      </c>
      <c r="C19" s="2">
        <v>27.84</v>
      </c>
      <c r="D19" s="4" t="s">
        <v>40</v>
      </c>
      <c r="E19" s="6">
        <f t="shared" si="0"/>
        <v>167.04</v>
      </c>
      <c r="F19" s="6">
        <f t="shared" si="1"/>
        <v>334.08</v>
      </c>
      <c r="G1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A2" sqref="A2"/>
    </sheetView>
  </sheetViews>
  <sheetFormatPr defaultRowHeight="15" x14ac:dyDescent="0.25"/>
  <sheetData>
    <row r="1" spans="1:3" ht="26.25" thickBot="1" x14ac:dyDescent="0.3">
      <c r="A1" s="1" t="s">
        <v>47</v>
      </c>
      <c r="B1" s="3" t="s">
        <v>45</v>
      </c>
      <c r="C1" s="3" t="s">
        <v>46</v>
      </c>
    </row>
    <row r="2" spans="1:3" ht="26.25" thickBot="1" x14ac:dyDescent="0.3">
      <c r="A2" s="2" t="s">
        <v>60</v>
      </c>
      <c r="B2" s="6">
        <v>3376.56</v>
      </c>
      <c r="C2" s="6">
        <v>6753.12</v>
      </c>
    </row>
    <row r="3" spans="1:3" ht="39" thickBot="1" x14ac:dyDescent="0.3">
      <c r="A3" s="2" t="s">
        <v>48</v>
      </c>
      <c r="B3" s="6">
        <v>1593.54</v>
      </c>
      <c r="C3" s="6">
        <v>3187.08</v>
      </c>
    </row>
    <row r="4" spans="1:3" ht="39" thickBot="1" x14ac:dyDescent="0.3">
      <c r="A4" s="2" t="s">
        <v>49</v>
      </c>
      <c r="B4" s="6">
        <v>1250.8799999999999</v>
      </c>
      <c r="C4" s="6">
        <v>2501.7599999999998</v>
      </c>
    </row>
    <row r="5" spans="1:3" ht="26.25" thickBot="1" x14ac:dyDescent="0.3">
      <c r="A5" s="2" t="s">
        <v>50</v>
      </c>
      <c r="B5" s="6">
        <v>1157.8799999999999</v>
      </c>
      <c r="C5" s="6">
        <v>2315.7599999999998</v>
      </c>
    </row>
    <row r="6" spans="1:3" ht="26.25" thickBot="1" x14ac:dyDescent="0.3">
      <c r="A6" s="2" t="s">
        <v>51</v>
      </c>
      <c r="B6" s="6">
        <v>1094.28</v>
      </c>
      <c r="C6" s="6">
        <v>2188.56</v>
      </c>
    </row>
    <row r="7" spans="1:3" ht="15.75" thickBot="1" x14ac:dyDescent="0.3">
      <c r="A7" s="2" t="s">
        <v>15</v>
      </c>
      <c r="B7" s="6">
        <v>887.28</v>
      </c>
      <c r="C7" s="6">
        <v>1774.56</v>
      </c>
    </row>
    <row r="8" spans="1:3" ht="39" thickBot="1" x14ac:dyDescent="0.3">
      <c r="A8" s="2" t="s">
        <v>52</v>
      </c>
      <c r="B8" s="6">
        <v>750.84</v>
      </c>
      <c r="C8" s="6">
        <v>1501.68</v>
      </c>
    </row>
    <row r="9" spans="1:3" ht="39" thickBot="1" x14ac:dyDescent="0.3">
      <c r="A9" s="2" t="s">
        <v>53</v>
      </c>
      <c r="B9" s="6">
        <v>647.76</v>
      </c>
      <c r="C9" s="6">
        <v>1295.52</v>
      </c>
    </row>
    <row r="10" spans="1:3" ht="15.75" thickBot="1" x14ac:dyDescent="0.3">
      <c r="A10" s="2" t="s">
        <v>21</v>
      </c>
      <c r="B10" s="6">
        <v>616.62</v>
      </c>
      <c r="C10" s="6">
        <v>1233.24</v>
      </c>
    </row>
    <row r="11" spans="1:3" ht="26.25" thickBot="1" x14ac:dyDescent="0.3">
      <c r="A11" s="1" t="s">
        <v>54</v>
      </c>
      <c r="B11" s="6">
        <v>481.08000000000004</v>
      </c>
      <c r="C11" s="6">
        <v>962.16000000000008</v>
      </c>
    </row>
    <row r="12" spans="1:3" ht="15.75" thickBot="1" x14ac:dyDescent="0.3">
      <c r="A12" s="2" t="s">
        <v>24</v>
      </c>
      <c r="B12" s="6">
        <v>454.74</v>
      </c>
      <c r="C12" s="6">
        <v>909.48</v>
      </c>
    </row>
    <row r="13" spans="1:3" ht="15.75" thickBot="1" x14ac:dyDescent="0.3">
      <c r="A13" s="2" t="s">
        <v>26</v>
      </c>
      <c r="B13" s="6">
        <v>438.06000000000006</v>
      </c>
      <c r="C13" s="6">
        <v>876.12000000000012</v>
      </c>
    </row>
    <row r="14" spans="1:3" ht="26.25" thickBot="1" x14ac:dyDescent="0.3">
      <c r="A14" s="2" t="s">
        <v>55</v>
      </c>
      <c r="B14" s="6">
        <v>1836.12</v>
      </c>
      <c r="C14" s="6">
        <v>3672.24</v>
      </c>
    </row>
    <row r="15" spans="1:3" ht="39" thickBot="1" x14ac:dyDescent="0.3">
      <c r="A15" s="2" t="s">
        <v>56</v>
      </c>
      <c r="B15" s="6">
        <v>900.78</v>
      </c>
      <c r="C15" s="6">
        <v>1801.56</v>
      </c>
    </row>
    <row r="16" spans="1:3" ht="26.25" thickBot="1" x14ac:dyDescent="0.3">
      <c r="A16" s="2" t="s">
        <v>57</v>
      </c>
      <c r="B16" s="6">
        <v>848.64</v>
      </c>
      <c r="C16" s="6">
        <v>1697.28</v>
      </c>
    </row>
    <row r="17" spans="1:3" ht="15.75" thickBot="1" x14ac:dyDescent="0.3">
      <c r="A17" s="2" t="s">
        <v>28</v>
      </c>
      <c r="B17" s="6">
        <v>718.92</v>
      </c>
      <c r="C17" s="6">
        <v>1437.84</v>
      </c>
    </row>
    <row r="18" spans="1:3" ht="26.25" thickBot="1" x14ac:dyDescent="0.3">
      <c r="A18" s="2" t="s">
        <v>58</v>
      </c>
      <c r="B18" s="6">
        <v>352.26</v>
      </c>
      <c r="C18" s="6">
        <v>704.52</v>
      </c>
    </row>
    <row r="19" spans="1:3" ht="26.25" thickBot="1" x14ac:dyDescent="0.3">
      <c r="A19" s="2" t="s">
        <v>59</v>
      </c>
      <c r="B19" s="6">
        <v>167.04</v>
      </c>
      <c r="C19" s="6">
        <v>334.08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2026-02-06T02:43:09Z</dcterms:created>
  <dcterms:modified xsi:type="dcterms:W3CDTF">2026-02-06T02:53:12Z</dcterms:modified>
</cp:coreProperties>
</file>